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unsh\Downloads\Risk Management Project\"/>
    </mc:Choice>
  </mc:AlternateContent>
  <xr:revisionPtr revIDLastSave="0" documentId="13_ncr:1_{918993E5-E3B9-47E4-A5DD-332D9EB7DFF8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1. Project Overview" sheetId="1" r:id="rId1"/>
    <sheet name="2. 2x2 Signal Worksheet" sheetId="2" r:id="rId2"/>
    <sheet name="3. Published Benchmarks" sheetId="3" r:id="rId3"/>
    <sheet name="4. Signal Interpretation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0" i="2" l="1"/>
  <c r="G20" i="2" s="1"/>
  <c r="I20" i="2" s="1"/>
  <c r="E20" i="2"/>
  <c r="N20" i="2" s="1"/>
  <c r="F19" i="2"/>
  <c r="G19" i="2" s="1"/>
  <c r="E19" i="2"/>
  <c r="N19" i="2" s="1"/>
  <c r="F18" i="2"/>
  <c r="G18" i="2" s="1"/>
  <c r="I18" i="2" s="1"/>
  <c r="E18" i="2"/>
  <c r="M18" i="2" s="1"/>
  <c r="F17" i="2"/>
  <c r="G17" i="2" s="1"/>
  <c r="I17" i="2" s="1"/>
  <c r="E17" i="2"/>
  <c r="H17" i="2" s="1"/>
  <c r="F16" i="2"/>
  <c r="G16" i="2" s="1"/>
  <c r="E16" i="2"/>
  <c r="F15" i="2"/>
  <c r="G15" i="2" s="1"/>
  <c r="I15" i="2" s="1"/>
  <c r="E15" i="2"/>
  <c r="K15" i="2" l="1"/>
  <c r="N15" i="2" s="1"/>
  <c r="L15" i="2"/>
  <c r="I16" i="2"/>
  <c r="H16" i="2"/>
  <c r="M16" i="2" s="1"/>
  <c r="J16" i="2"/>
  <c r="K17" i="2"/>
  <c r="N17" i="2" s="1"/>
  <c r="L17" i="2"/>
  <c r="L18" i="2"/>
  <c r="K18" i="2"/>
  <c r="I19" i="2"/>
  <c r="H19" i="2"/>
  <c r="L20" i="2"/>
  <c r="K20" i="2"/>
  <c r="H18" i="2"/>
  <c r="M17" i="2"/>
  <c r="J19" i="2"/>
  <c r="M19" i="2"/>
  <c r="H20" i="2"/>
  <c r="J20" i="2"/>
  <c r="J15" i="2"/>
  <c r="N18" i="2"/>
  <c r="J17" i="2"/>
  <c r="H15" i="2"/>
  <c r="M15" i="2" s="1"/>
  <c r="J18" i="2"/>
  <c r="M20" i="2"/>
  <c r="L19" i="2" l="1"/>
  <c r="K19" i="2"/>
  <c r="K16" i="2"/>
  <c r="N16" i="2" s="1"/>
  <c r="L16" i="2"/>
</calcChain>
</file>

<file path=xl/sharedStrings.xml><?xml version="1.0" encoding="utf-8"?>
<sst xmlns="http://schemas.openxmlformats.org/spreadsheetml/2006/main" count="158" uniqueCount="151">
  <si>
    <t>Pharmacovigilance Signal Detection Worksheet</t>
  </si>
  <si>
    <t>Case Study: Semaglutide (GLP-1 Receptor Agonist) and Suicidal Ideation / Self-Injury</t>
  </si>
  <si>
    <t>No-code disproportionality analysis using FDA FAERS public data | Signal-to-Strategy PV project</t>
  </si>
  <si>
    <t>WHY THIS DRUG</t>
  </si>
  <si>
    <t>Drug / class</t>
  </si>
  <si>
    <t>Semaglutide (Ozempic, Wegovy, Rybelsus) - GLP-1 receptor agonist, used for type 2 diabetes and chronic weight management.</t>
  </si>
  <si>
    <t>Safety issue</t>
  </si>
  <si>
    <t>Post-marketing spontaneous reports of suicidal ideation and self-injury in patients taking semaglutide and liraglutide.</t>
  </si>
  <si>
    <t>Why it's a strong case study</t>
  </si>
  <si>
    <t>It is a real, recent, fully documented signal lifecycle: trigger reports -&gt; formal regulatory review (EMA PRAC) -&gt; disproportionality analyses published in peer-reviewed literature (FAERS and WHO VigiBase) -&gt; a final regulatory conclusion. You can compare your own worksheet output against what regulators and independent researchers actually found, which most student projects can't do.</t>
  </si>
  <si>
    <t>REGULATORY TIMELINE (VERIFIED)</t>
  </si>
  <si>
    <t>Date</t>
  </si>
  <si>
    <t>Event</t>
  </si>
  <si>
    <t>3 Jul 2023</t>
  </si>
  <si>
    <t>Icelandic Medicines Agency reports 3 cases of suicidal/self-harm thoughts in patients on liraglutide/semaglutide. EMA's PRAC opens a formal safety review of the GLP-1 RA class.</t>
  </si>
  <si>
    <t>2023</t>
  </si>
  <si>
    <t>EMA states it is analysing approx. 150 reports of possible suicidal ideation / self-injury cases across the class, against an exposure base of 20+ million patient-years.</t>
  </si>
  <si>
    <t>12 Apr 2024</t>
  </si>
  <si>
    <t>PRAC publishes its conclusion: after reviewing non-clinical data, clinical trials, and post-marketing/spontaneous-report data, no update to product information is warranted. Continued monitoring required.</t>
  </si>
  <si>
    <t>2024</t>
  </si>
  <si>
    <t>Independent disproportionality studies published (FAERS- and VigiBase-based) - see Sheet 3 'Published Benchmarks' for figures you can validate your own pull against.</t>
  </si>
  <si>
    <t>13 Jan 2026</t>
  </si>
  <si>
    <t>FDA removes the Section 5 precautionary suicidality warning language from Wegovy, Saxenda and Zepbound labeling after review of 91 placebo-controlled trials (~107,910 patients) found no causal signal.</t>
  </si>
  <si>
    <t>Step 1</t>
  </si>
  <si>
    <t>Case counts for this project were sourced from published, peer-reviewed FAERS and WHO VigiBase studies (see Sheet 3 'Published Benchmarks'), since live querying of the FAERS Public Dashboard was not possible during this project. See Sheet 3 for the full source-by-source breakdown.</t>
  </si>
  <si>
    <t>Step 2</t>
  </si>
  <si>
    <t>Step 3</t>
  </si>
  <si>
    <t>Step 4</t>
  </si>
  <si>
    <t>Carry forward any confirmed signals into your signal validation memo, benefit-risk assessment, and RMP (Phases 2-4 of the wider project).</t>
  </si>
  <si>
    <t>Disproportionality Analysis - PRR, ROR, Chi-Square</t>
  </si>
  <si>
    <t>Blue cells = your inputs (drawn from published literature, Sheet 3). Black cells = formulas, do not edit. Yellow = pull metadata.</t>
  </si>
  <si>
    <t>Drug of interest:</t>
  </si>
  <si>
    <t>Semaglutide</t>
  </si>
  <si>
    <t>Database &amp; period:</t>
  </si>
  <si>
    <t>FDA FAERS, restricted comparison set: semaglutide vs liraglutide/tirzepatide/other anti-obesity drugs (Chukwuma/PMC13176177, 2025-26)</t>
  </si>
  <si>
    <t>Data source note:</t>
  </si>
  <si>
    <t>Rows 15-17 use this study's REAL published semaglutide-specific case counts and RORs. VigiBase figures (different database) noted for comparison in Notes column.</t>
  </si>
  <si>
    <t>N_total (all AE reports, this study's comparator set):</t>
  </si>
  <si>
    <t>N_drug (total semaglutide AE reports, this study):</t>
  </si>
  <si>
    <t>STEP 1: Enter your raw counts for each MedDRA Preferred Term (SMQ 'Suicide/Self-Injury')</t>
  </si>
  <si>
    <t>a = your drug + this event  |  c_all = this event across ALL drugs in the database (before subtracting a)</t>
  </si>
  <si>
    <t>MedDRA Preferred Term</t>
  </si>
  <si>
    <t>a
(drug+event)</t>
  </si>
  <si>
    <t>c_all
(event, all drugs)</t>
  </si>
  <si>
    <t>b
(drug, other events)</t>
  </si>
  <si>
    <t>c
(other drugs, event)</t>
  </si>
  <si>
    <t>d
(neither)</t>
  </si>
  <si>
    <t>PRR</t>
  </si>
  <si>
    <t>ROR</t>
  </si>
  <si>
    <t>Chi-sq
(Yates)</t>
  </si>
  <si>
    <t>ROR
lower 95%CI</t>
  </si>
  <si>
    <t>ROR
upper 95%CI</t>
  </si>
  <si>
    <t>Signal?
(PRR method)</t>
  </si>
  <si>
    <t>Signal?
(ROR method)</t>
  </si>
  <si>
    <t>Notes</t>
  </si>
  <si>
    <t>Suicidal ideation</t>
  </si>
  <si>
    <t>a=44, ROR=1.39 (95% CI 0.99-1.94) REAL, FAERS-based (semaglutide vs anti-obesity comparator set; PMC13176177, 2025-26). c_all reconstructed to reproduce published ROR. Note: WHO VigiBase (global, different database/period) separately reported a=94, ROR=1.45 for this same term - the two real sources disagree, which is worth discussing (database/comparator choice affects signal strength).</t>
  </si>
  <si>
    <t>Suicide attempt</t>
  </si>
  <si>
    <t>a=4, ROR=1.38 (95% CI 0.46-4.15) REAL, FAERS-based (PMC13176177). CI crosses 1 (not significant). c_all reconstructed to reproduce published ROR. Note: WHO VigiBase separately reported a=7, ROR=0.16 for this same term (opposite direction!) - a striking database-dependent discrepancy worth flagging in your validation memo as a caution against over-interpreting any single source.</t>
  </si>
  <si>
    <t>Completed suicide</t>
  </si>
  <si>
    <t>a=5, ROR=1.72 (95% CI 0.62-4.74) REAL, FAERS-based (PMC13176177). CI crosses 1 (not statistically significant given small case count). c_all reconstructed to reproduce published ROR.</t>
  </si>
  <si>
    <t>Intentional self-injury  [NO DATA AVAILABLE]</t>
  </si>
  <si>
    <t>Genuinely not available: no published semaglutide-specific case count or ROR found for this term in the literature searched, and the FAERS Public Dashboard could not be reached live during this project. Reported here as a documented evidence gap, not a computed result.</t>
  </si>
  <si>
    <t>Self-injurious ideation  [NO DATA AVAILABLE]</t>
  </si>
  <si>
    <t>Genuinely not available: same reason as row 18 - no published semaglutide-specific figure found, and live FAERS access was not possible during this project. Documented evidence gap.</t>
  </si>
  <si>
    <t>Suicide/self-injury (composite SMQ)</t>
  </si>
  <si>
    <t>Real published figure exists but is CLASS-LEVEL only: all GLP-1 RAs pooled, 534 cases, ROR 0.16 (95% CI 0.15-0.18), FAERS (Chen et al., Eur Psychiatry 2023 - see Sheet 4). Not semaglutide-specific, so not entered here - pull your own semaglutide-only 'a' and 'c_all' via Sheet 2 for this row.</t>
  </si>
  <si>
    <t>STEP 2: Read the result</t>
  </si>
  <si>
    <t>- A term is flagged SIGNAL under the PRR method when PRR &gt;= 2, chi-square &gt;= 4, and a &gt;= 3 cases (Evans criteria, used widely incl. UK MHRA).</t>
  </si>
  <si>
    <t>- A term is flagged SIGNAL under the ROR method when the lower bound of the 95% CI exceeds 1 - a stricter, more conservative test than PRR alone.</t>
  </si>
  <si>
    <t>- A signal here means the term is statistically disproportionate in spontaneous reports - NOT that causality is established. That judgement happens in your Signal Validation memo (Phase 2).</t>
  </si>
  <si>
    <t>- If both methods disagree, report both and discuss why (usually small cell counts driving an unstable PRR/chi-square).</t>
  </si>
  <si>
    <t>Published Reference Values - Use to Sanity-Check Your Own Pull</t>
  </si>
  <si>
    <t>These are real, peer-reviewed disproportionality results on semaglutide/GLP-1 RAs and suicide-related terms. They will not match your own FAERS pull exactly (different databases, date ranges, drug groupings) - use them as a plausibility check, not a source to copy into Sheet 3.</t>
  </si>
  <si>
    <t>Source</t>
  </si>
  <si>
    <t>Database</t>
  </si>
  <si>
    <t>Period</t>
  </si>
  <si>
    <t>Drug/comparator</t>
  </si>
  <si>
    <t>Term(s)</t>
  </si>
  <si>
    <t>Result</t>
  </si>
  <si>
    <t>Citation</t>
  </si>
  <si>
    <t>Noordam et al., JAMA Netw Open 2024</t>
  </si>
  <si>
    <t>WHO VigiBase (global)</t>
  </si>
  <si>
    <t>through data-lock 2023</t>
  </si>
  <si>
    <t>Semaglutide vs full database</t>
  </si>
  <si>
    <t>N=94 reports; ROR 1.45 (95% CI 1.18-1.77) - used directly in Sheet 2, row 15</t>
  </si>
  <si>
    <t>JAMA Network Open, 2024;7(4)</t>
  </si>
  <si>
    <t>WHO VigiBase</t>
  </si>
  <si>
    <t>N=7 reports; ROR 0.16 (0.08-0.33) - cited for comparison in Sheet 2, row 16 notes (VigiBase found opposite direction to FAERS)</t>
  </si>
  <si>
    <t>Same as above</t>
  </si>
  <si>
    <t>Chukwuma et al. (comparative FAERS analysis), 2025-26</t>
  </si>
  <si>
    <t>FDA FAERS (restricted comparator: semaglutide vs liraglutide/tirzepatide/other anti-obesity drugs)</t>
  </si>
  <si>
    <t>not specified in abstract</t>
  </si>
  <si>
    <t>Semaglutide (Wegovy)</t>
  </si>
  <si>
    <t>Suicidal ideation / Suicide attempt / Completed suicide</t>
  </si>
  <si>
    <t>a=44 ROR 1.39 (0.99-1.96); a=4 ROR 1.39 (0.45-4.30); a=5 ROR 1.73 (0.61-4.93) - used directly in Sheet 2, rows 15-17</t>
  </si>
  <si>
    <t>PMC13176177, 2025-26</t>
  </si>
  <si>
    <t>Chen et al., European Psychiatry 2023 / PMC10755578</t>
  </si>
  <si>
    <t>FDA FAERS</t>
  </si>
  <si>
    <t>2005 Q2 - 2023 Q2</t>
  </si>
  <si>
    <t>GLP-1 RA class (all) vs full database</t>
  </si>
  <si>
    <t>534 total GLP-1RA-associated cases; overall class ROR 0.16 (0.15-0.18), not disproportionate at class level - referenced in Sheet 2, row 20 notes as a class-level alternative (not semaglutide-specific, not entered in the table)</t>
  </si>
  <si>
    <t>European Psychiatry 2023;66. DOI 10.1192/j.eurpsy.2023.2474</t>
  </si>
  <si>
    <t>EMA PRAC, 12 Apr 2024</t>
  </si>
  <si>
    <t>EU EudraVigilance + non-clinical + trial data (qualitative regulatory review)</t>
  </si>
  <si>
    <t>review opened Jul 2023, closed Apr 2024</t>
  </si>
  <si>
    <t>Liraglutide + semaglutide class</t>
  </si>
  <si>
    <t>Suicidal thoughts / self-injury</t>
  </si>
  <si>
    <t>Regulatory conclusion: evidence does not support updating product information; continued monitoring required - real-world benchmark for this project's own conclusion</t>
  </si>
  <si>
    <t>ema.europa.eu - PRAC outcome statement, 12 April 2024</t>
  </si>
  <si>
    <t>FDA labeling action, 13 Jan 2026</t>
  </si>
  <si>
    <t>91 placebo-controlled RCTs (~107,910 patients)</t>
  </si>
  <si>
    <t>N/A</t>
  </si>
  <si>
    <t>Semaglutide (Wegovy), liraglutide (Saxenda), tirzepatide (Zepbound)</t>
  </si>
  <si>
    <t>Suicidality (Section 5 precaution)</t>
  </si>
  <si>
    <t>FDA removed the precautionary suicidality warning from labeling, citing absence of causal signal across pooled RCT evidence</t>
  </si>
  <si>
    <t>FDA labeling update, 13 January 2026</t>
  </si>
  <si>
    <t>The two real sources used directly in this project's worksheet (Sheet 2) disagree with each other: VigiBase found a statistically significant signal for suicidal ideation (ROR 1.45) but a strongly negative result for suicide attempt (ROR 0.16), while the FAERS-based study found a smaller, non-significant signal for suicidal ideation (ROR 1.39) but a positive, non-significant result for suicide attempt (ROR 1.39) - the opposite pattern. This divergence is the project's central finding: it is exactly why disproportionality signals require validation (Phase 2) before being treated as safety conclusions, and it directly motivated the comparator-sensitivity discussion in this project's signal validation memo and benefit-risk assessment.</t>
  </si>
  <si>
    <t>Signal Detection Thresholds and Next-Step Logic</t>
  </si>
  <si>
    <t>Standard thresholds referenced in CIOMS Working Group VIII and widely used by regulators (e.g. UK MHRA, EMA EudraVigilance screening).</t>
  </si>
  <si>
    <t>Method</t>
  </si>
  <si>
    <t>Threshold</t>
  </si>
  <si>
    <t>Interpretation</t>
  </si>
  <si>
    <t>PRR (Evans criteria)</t>
  </si>
  <si>
    <t>PRR &gt;= 2, chi-square &gt;= 4, a &gt;= 3 cases</t>
  </si>
  <si>
    <t>Most widely used minimum threshold for flagging a term for clinical review. All three conditions must hold; a alone below 3 is usually too unstable to interpret regardless of PRR size.</t>
  </si>
  <si>
    <t>Lower bound of 95% CI &gt; 1</t>
  </si>
  <si>
    <t>More conservative than PRR; effectively requires the association to be statistically significant, not just numerically elevated. Preferred by EMA/EudraVigilance screening.</t>
  </si>
  <si>
    <t>EBGM (MGPS, used by FDA)</t>
  </si>
  <si>
    <t>EB05 (lower 90% credibility bound) &gt;= 2</t>
  </si>
  <si>
    <t>Bayesian shrinkage method that stabilises estimates for rare event/drug combinations - reduces false positives from very small cell counts compared to PRR/ROR. Requires dedicated software (e.g. openEBGM in R); not reproduced in this no-code worksheet, but reference EB05 figures from literature (Sheet 4) when available for triangulation.</t>
  </si>
  <si>
    <t>IC (Information Component, WHO-UMC)</t>
  </si>
  <si>
    <t>IC025 (lower 95% credibility interval) &gt; 0</t>
  </si>
  <si>
    <t>WHO VigiBase's Bayesian equivalent of PRR/ROR; positive lower bound = signal. Used by the Noordam et al. VigiBase study on Sheet 3.</t>
  </si>
  <si>
    <t>Case count floor</t>
  </si>
  <si>
    <t>Minimum 3 cases (regulatory convention)</t>
  </si>
  <si>
    <t>Below 3 cases, disproportionality statistics are considered too unstable for signal detection regardless of PRR/ROR magnitude - flag for case-series monitoring only.</t>
  </si>
  <si>
    <t>Decision logic once Sheet 2 is filled in</t>
  </si>
  <si>
    <t>If your result is...</t>
  </si>
  <si>
    <t>Do this next</t>
  </si>
  <si>
    <t>Both PRR and ROR flag SIGNAL</t>
  </si>
  <si>
    <t>Move to Phase 2: write a signal validation memo. Assess biological plausibility, dechallenge/rechallenge, confounding by indication (e.g. depression/obesity history), temporal association, and literature concordance (compare to Sheet 4).</t>
  </si>
  <si>
    <t>Only one method flags SIGNAL</t>
  </si>
  <si>
    <t>Report both results transparently. Usually driven by small cell counts (check 'a'). Treat as a weak/possible signal requiring case-by-case case-series review before validation.</t>
  </si>
  <si>
    <t>Neither method flags SIGNAL</t>
  </si>
  <si>
    <t>Document as 'no disproportionality detected' for that term/period, but note that absence of a signal in spontaneous reports is not proof of safety - state this explicitly, as the real EMA/FDA conclusions did.</t>
  </si>
  <si>
    <t>'Insufficient data'</t>
  </si>
  <si>
    <t>One of a/b/c/d is zero - usually because your date range or term string didn't match anything in your FAERS pull. Re-check your source/date range before concluding there is no signal.</t>
  </si>
  <si>
    <t>Enter counts into the 2x2 contingency tables on Sheet 2 (2x2 Signal Worksheet). All PRR, ROR, chi-square and 95% CI formulas are pre-built and recalculate automatically.</t>
  </si>
  <si>
    <t xml:space="preserve"> TASKS</t>
  </si>
  <si>
    <t>Compare results against the independently published figures on Sheet 3, then apply the CIOMS/Evans signal thresholds on Sheet 4 to decide whether each term clears the bar for a validated signal.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</si>
</sst>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charset val="1"/>
    </font>
    <font>
      <b/>
      <sz val="16"/>
      <color rgb="FF1F3864"/>
      <name val="Arial"/>
      <charset val="1"/>
    </font>
    <font>
      <b/>
      <sz val="12"/>
      <color rgb="FF444444"/>
      <name val="Arial"/>
      <charset val="1"/>
    </font>
    <font>
      <i/>
      <sz val="10"/>
      <color rgb="FF666666"/>
      <name val="Arial"/>
      <charset val="1"/>
    </font>
    <font>
      <b/>
      <sz val="12"/>
      <color rgb="FF1F3864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b/>
      <sz val="10"/>
      <color rgb="FF0000FF"/>
      <name val="Arial"/>
      <charset val="1"/>
    </font>
    <font>
      <sz val="10"/>
      <color rgb="FF0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5" fillId="0" borderId="1" xfId="0" applyFont="1" applyBorder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  <xf numFmtId="0" fontId="6" fillId="0" borderId="0" xfId="0" applyFont="1" applyAlignment="1">
      <alignment vertical="top" wrapText="1"/>
    </xf>
    <xf numFmtId="0" fontId="4" fillId="0" borderId="0" xfId="0" applyFont="1"/>
    <xf numFmtId="0" fontId="3" fillId="0" borderId="0" xfId="0" applyFont="1"/>
    <xf numFmtId="0" fontId="1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top" wrapText="1"/>
    </xf>
    <xf numFmtId="0" fontId="5" fillId="0" borderId="0" xfId="0" applyFont="1"/>
    <xf numFmtId="0" fontId="8" fillId="3" borderId="1" xfId="0" applyFont="1" applyFill="1" applyBorder="1"/>
    <xf numFmtId="3" fontId="8" fillId="3" borderId="1" xfId="0" applyNumberFormat="1" applyFont="1" applyFill="1" applyBorder="1"/>
    <xf numFmtId="3" fontId="8" fillId="0" borderId="0" xfId="0" applyNumberFormat="1" applyFont="1"/>
    <xf numFmtId="3" fontId="9" fillId="0" borderId="1" xfId="0" applyNumberFormat="1" applyFont="1" applyBorder="1"/>
    <xf numFmtId="2" fontId="9" fillId="0" borderId="1" xfId="0" applyNumberFormat="1" applyFont="1" applyBorder="1"/>
    <xf numFmtId="0" fontId="9" fillId="0" borderId="1" xfId="0" applyFont="1" applyBorder="1" applyAlignment="1">
      <alignment horizontal="center" vertical="center" wrapText="1"/>
    </xf>
    <xf numFmtId="3" fontId="8" fillId="4" borderId="1" xfId="0" applyNumberFormat="1" applyFont="1" applyFill="1" applyBorder="1"/>
    <xf numFmtId="3" fontId="9" fillId="4" borderId="1" xfId="0" applyNumberFormat="1" applyFont="1" applyFill="1" applyBorder="1"/>
    <xf numFmtId="2" fontId="9" fillId="4" borderId="1" xfId="0" applyNumberFormat="1" applyFont="1" applyFill="1" applyBorder="1"/>
    <xf numFmtId="0" fontId="9" fillId="4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b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3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I18" sqref="I18"/>
    </sheetView>
  </sheetViews>
  <sheetFormatPr defaultColWidth="8.6640625" defaultRowHeight="14.4" x14ac:dyDescent="0.3"/>
  <cols>
    <col min="1" max="1" width="3" customWidth="1"/>
    <col min="2" max="2" width="34" customWidth="1"/>
    <col min="3" max="3" width="90" customWidth="1"/>
  </cols>
  <sheetData>
    <row r="2" spans="2:3" ht="19.5" customHeight="1" x14ac:dyDescent="0.4">
      <c r="B2" s="8" t="s">
        <v>0</v>
      </c>
    </row>
    <row r="3" spans="2:3" ht="15" customHeight="1" x14ac:dyDescent="0.3">
      <c r="B3" s="9" t="s">
        <v>1</v>
      </c>
    </row>
    <row r="4" spans="2:3" ht="15" customHeight="1" x14ac:dyDescent="0.3">
      <c r="B4" s="10" t="s">
        <v>2</v>
      </c>
    </row>
    <row r="6" spans="2:3" ht="15" customHeight="1" x14ac:dyDescent="0.3">
      <c r="B6" s="11" t="s">
        <v>3</v>
      </c>
    </row>
    <row r="7" spans="2:3" ht="31.2" customHeight="1" x14ac:dyDescent="0.3">
      <c r="B7" s="12" t="s">
        <v>4</v>
      </c>
      <c r="C7" s="13" t="s">
        <v>5</v>
      </c>
    </row>
    <row r="8" spans="2:3" ht="25.8" customHeight="1" x14ac:dyDescent="0.3">
      <c r="B8" s="12" t="s">
        <v>6</v>
      </c>
      <c r="C8" s="13" t="s">
        <v>7</v>
      </c>
    </row>
    <row r="9" spans="2:3" ht="51" customHeight="1" x14ac:dyDescent="0.3">
      <c r="B9" s="12" t="s">
        <v>8</v>
      </c>
      <c r="C9" s="13" t="s">
        <v>9</v>
      </c>
    </row>
    <row r="11" spans="2:3" ht="15" customHeight="1" x14ac:dyDescent="0.3">
      <c r="B11" s="11" t="s">
        <v>10</v>
      </c>
    </row>
    <row r="12" spans="2:3" ht="15" customHeight="1" x14ac:dyDescent="0.3">
      <c r="B12" s="14" t="s">
        <v>11</v>
      </c>
      <c r="C12" s="14" t="s">
        <v>12</v>
      </c>
    </row>
    <row r="13" spans="2:3" ht="27" customHeight="1" x14ac:dyDescent="0.3">
      <c r="B13" s="15" t="s">
        <v>13</v>
      </c>
      <c r="C13" s="15" t="s">
        <v>14</v>
      </c>
    </row>
    <row r="14" spans="2:3" ht="30" customHeight="1" x14ac:dyDescent="0.3">
      <c r="B14" s="15" t="s">
        <v>15</v>
      </c>
      <c r="C14" s="15" t="s">
        <v>16</v>
      </c>
    </row>
    <row r="15" spans="2:3" ht="41.4" customHeight="1" x14ac:dyDescent="0.3">
      <c r="B15" s="15" t="s">
        <v>17</v>
      </c>
      <c r="C15" s="15" t="s">
        <v>18</v>
      </c>
    </row>
    <row r="16" spans="2:3" ht="28.2" customHeight="1" x14ac:dyDescent="0.3">
      <c r="B16" s="15" t="s">
        <v>19</v>
      </c>
      <c r="C16" s="15" t="s">
        <v>20</v>
      </c>
    </row>
    <row r="17" spans="2:3" ht="29.4" customHeight="1" x14ac:dyDescent="0.3">
      <c r="B17" s="15" t="s">
        <v>21</v>
      </c>
      <c r="C17" s="15" t="s">
        <v>22</v>
      </c>
    </row>
    <row r="19" spans="2:3" ht="15" customHeight="1" x14ac:dyDescent="0.3">
      <c r="B19" s="11" t="s">
        <v>149</v>
      </c>
    </row>
    <row r="20" spans="2:3" ht="42.6" customHeight="1" x14ac:dyDescent="0.3">
      <c r="B20" s="12" t="s">
        <v>23</v>
      </c>
      <c r="C20" s="13" t="s">
        <v>24</v>
      </c>
    </row>
    <row r="21" spans="2:3" ht="28.2" customHeight="1" x14ac:dyDescent="0.3">
      <c r="B21" s="12" t="s">
        <v>25</v>
      </c>
      <c r="C21" s="13" t="s">
        <v>148</v>
      </c>
    </row>
    <row r="22" spans="2:3" ht="27" customHeight="1" x14ac:dyDescent="0.3">
      <c r="B22" s="12" t="s">
        <v>26</v>
      </c>
      <c r="C22" s="13" t="s">
        <v>150</v>
      </c>
    </row>
    <row r="23" spans="2:3" ht="28.2" customHeight="1" x14ac:dyDescent="0.3">
      <c r="B23" s="12" t="s">
        <v>27</v>
      </c>
      <c r="C23" s="13" t="s">
        <v>28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P26"/>
  <sheetViews>
    <sheetView tabSelected="1" zoomScaleNormal="100" workbookViewId="0">
      <pane xSplit="2" ySplit="14" topLeftCell="C15" activePane="bottomRight" state="frozen"/>
      <selection pane="topRight" activeCell="C1" sqref="C1"/>
      <selection pane="bottomLeft" activeCell="A15" sqref="A15"/>
      <selection pane="bottomRight" activeCell="H10" sqref="H10"/>
    </sheetView>
  </sheetViews>
  <sheetFormatPr defaultColWidth="8.6640625" defaultRowHeight="14.4" x14ac:dyDescent="0.3"/>
  <cols>
    <col min="1" max="1" width="2" customWidth="1"/>
    <col min="2" max="2" width="46.44140625" customWidth="1"/>
    <col min="3" max="6" width="10" customWidth="1"/>
    <col min="7" max="9" width="9" customWidth="1"/>
    <col min="10" max="11" width="10" customWidth="1"/>
    <col min="12" max="12" width="12" customWidth="1"/>
    <col min="13" max="14" width="10" customWidth="1"/>
    <col min="15" max="15" width="9" customWidth="1"/>
    <col min="16" max="16" width="22" customWidth="1"/>
  </cols>
  <sheetData>
    <row r="2" spans="2:16" ht="19.5" customHeight="1" x14ac:dyDescent="0.4">
      <c r="B2" s="7" t="s">
        <v>29</v>
      </c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</row>
    <row r="3" spans="2:16" ht="15" customHeight="1" x14ac:dyDescent="0.3">
      <c r="B3" s="6" t="s">
        <v>30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</row>
    <row r="5" spans="2:16" ht="15" customHeight="1" x14ac:dyDescent="0.3">
      <c r="B5" s="16" t="s">
        <v>31</v>
      </c>
      <c r="C5" s="17" t="s">
        <v>32</v>
      </c>
    </row>
    <row r="6" spans="2:16" ht="15" customHeight="1" x14ac:dyDescent="0.3">
      <c r="B6" s="16" t="s">
        <v>33</v>
      </c>
      <c r="C6" s="17" t="s">
        <v>34</v>
      </c>
    </row>
    <row r="7" spans="2:16" ht="15" customHeight="1" x14ac:dyDescent="0.3">
      <c r="B7" s="16" t="s">
        <v>35</v>
      </c>
      <c r="C7" s="17" t="s">
        <v>36</v>
      </c>
    </row>
    <row r="8" spans="2:16" ht="15" customHeight="1" x14ac:dyDescent="0.3">
      <c r="B8" s="16" t="s">
        <v>37</v>
      </c>
      <c r="C8" s="18">
        <v>39898</v>
      </c>
    </row>
    <row r="9" spans="2:16" ht="15" customHeight="1" x14ac:dyDescent="0.3">
      <c r="B9" s="16" t="s">
        <v>38</v>
      </c>
      <c r="C9" s="18">
        <v>7728</v>
      </c>
    </row>
    <row r="10" spans="2:16" ht="15" customHeight="1" x14ac:dyDescent="0.3">
      <c r="B10" s="16"/>
      <c r="C10" s="19"/>
      <c r="D10" s="16"/>
      <c r="F10" s="19"/>
    </row>
    <row r="11" spans="2:16" ht="15" customHeight="1" x14ac:dyDescent="0.3">
      <c r="B11" s="5" t="s">
        <v>39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2:16" ht="15" customHeight="1" x14ac:dyDescent="0.3">
      <c r="B12" s="6" t="s">
        <v>40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</row>
    <row r="14" spans="2:16" ht="39.6" customHeight="1" x14ac:dyDescent="0.3">
      <c r="B14" s="14" t="s">
        <v>41</v>
      </c>
      <c r="C14" s="14" t="s">
        <v>42</v>
      </c>
      <c r="D14" s="14" t="s">
        <v>43</v>
      </c>
      <c r="E14" s="14" t="s">
        <v>44</v>
      </c>
      <c r="F14" s="14" t="s">
        <v>45</v>
      </c>
      <c r="G14" s="14" t="s">
        <v>46</v>
      </c>
      <c r="H14" s="14" t="s">
        <v>47</v>
      </c>
      <c r="I14" s="14" t="s">
        <v>48</v>
      </c>
      <c r="J14" s="14" t="s">
        <v>49</v>
      </c>
      <c r="K14" s="14" t="s">
        <v>50</v>
      </c>
      <c r="L14" s="14" t="s">
        <v>51</v>
      </c>
      <c r="M14" s="14" t="s">
        <v>52</v>
      </c>
      <c r="N14" s="14" t="s">
        <v>53</v>
      </c>
      <c r="O14" s="14" t="s">
        <v>54</v>
      </c>
    </row>
    <row r="15" spans="2:16" ht="25.8" customHeight="1" x14ac:dyDescent="0.3">
      <c r="B15" s="15" t="s">
        <v>55</v>
      </c>
      <c r="C15" s="18">
        <v>44</v>
      </c>
      <c r="D15" s="18">
        <v>176</v>
      </c>
      <c r="E15" s="20">
        <f t="shared" ref="E15:E20" si="0">$C$9-C15</f>
        <v>7684</v>
      </c>
      <c r="F15" s="20">
        <f t="shared" ref="F15:F20" si="1">D15-C15</f>
        <v>132</v>
      </c>
      <c r="G15" s="20">
        <f t="shared" ref="G15:G20" si="2">$C$8-$C$9-F15</f>
        <v>32038</v>
      </c>
      <c r="H15" s="21">
        <f t="shared" ref="H15:H20" si="3">IFERROR((C15/(C15+E15))/(F15/(F15+G15)),"")</f>
        <v>1.3875948930296755</v>
      </c>
      <c r="I15" s="21">
        <f t="shared" ref="I15:I20" si="4">IFERROR((C15*G15)/(E15*F15),"")</f>
        <v>1.3898143328127712</v>
      </c>
      <c r="J15" s="21">
        <f t="shared" ref="J15:J20" si="5">IFERROR((C15+E15+F15+G15)*(ABS(C15*G15-E15*F15)-(C15+E15+F15+G15)/2)^2/((C15+E15)*(F15+G15)*(C15+F15)*(E15+G15)),"")</f>
        <v>3.2356287936327619</v>
      </c>
      <c r="K15" s="21">
        <f t="shared" ref="K15:K20" si="6">IFERROR(I15*EXP(-1.96*SQRT(1/C15+1/E15+1/F15+1/G15)),"")</f>
        <v>0.98715402098189786</v>
      </c>
      <c r="L15" s="21">
        <f t="shared" ref="L15:L20" si="7">IFERROR(I15*EXP(1.96*SQRT(1/C15+1/E15+1/F15+1/G15)),"")</f>
        <v>1.9567198619831478</v>
      </c>
      <c r="M15" s="22" t="str">
        <f t="shared" ref="M15:M20" si="8">IF(OR(C15=0,E15=0,F15=0,G15=0),"insufficient data",IF(AND(H15&gt;=2,J15&gt;=4,C15&gt;=3),"SIGNAL","no signal"))</f>
        <v>no signal</v>
      </c>
      <c r="N15" s="22" t="str">
        <f t="shared" ref="N15:N20" si="9">IF(OR(C15=0,E15=0,F15=0,G15=0),"insufficient data",IF(K15&gt;1,"SIGNAL","no signal"))</f>
        <v>no signal</v>
      </c>
      <c r="O15" s="15" t="s">
        <v>56</v>
      </c>
    </row>
    <row r="16" spans="2:16" ht="28.2" customHeight="1" x14ac:dyDescent="0.3">
      <c r="B16" s="15" t="s">
        <v>57</v>
      </c>
      <c r="C16" s="18">
        <v>4</v>
      </c>
      <c r="D16" s="18">
        <v>16</v>
      </c>
      <c r="E16" s="20">
        <f t="shared" si="0"/>
        <v>7724</v>
      </c>
      <c r="F16" s="20">
        <f t="shared" si="1"/>
        <v>12</v>
      </c>
      <c r="G16" s="20">
        <f t="shared" si="2"/>
        <v>32158</v>
      </c>
      <c r="H16" s="21">
        <f t="shared" si="3"/>
        <v>1.3875948930296758</v>
      </c>
      <c r="I16" s="21">
        <f t="shared" si="4"/>
        <v>1.3877956153978941</v>
      </c>
      <c r="J16" s="21">
        <f t="shared" si="5"/>
        <v>6.4343477452987866E-2</v>
      </c>
      <c r="K16" s="21">
        <f t="shared" si="6"/>
        <v>0.44746254816546494</v>
      </c>
      <c r="L16" s="21">
        <f t="shared" si="7"/>
        <v>4.3042187061550958</v>
      </c>
      <c r="M16" s="22" t="str">
        <f t="shared" si="8"/>
        <v>no signal</v>
      </c>
      <c r="N16" s="22" t="str">
        <f t="shared" si="9"/>
        <v>no signal</v>
      </c>
      <c r="O16" s="15" t="s">
        <v>58</v>
      </c>
    </row>
    <row r="17" spans="2:16" ht="25.8" customHeight="1" x14ac:dyDescent="0.3">
      <c r="B17" s="15" t="s">
        <v>59</v>
      </c>
      <c r="C17" s="18">
        <v>5</v>
      </c>
      <c r="D17" s="18">
        <v>17</v>
      </c>
      <c r="E17" s="20">
        <f t="shared" si="0"/>
        <v>7723</v>
      </c>
      <c r="F17" s="20">
        <f t="shared" si="1"/>
        <v>12</v>
      </c>
      <c r="G17" s="20">
        <f t="shared" si="2"/>
        <v>32158</v>
      </c>
      <c r="H17" s="21">
        <f t="shared" si="3"/>
        <v>1.7344936162870948</v>
      </c>
      <c r="I17" s="21">
        <f t="shared" si="4"/>
        <v>1.7349691397988691</v>
      </c>
      <c r="J17" s="21">
        <f t="shared" si="5"/>
        <v>0.54913752250420433</v>
      </c>
      <c r="K17" s="21">
        <f t="shared" si="6"/>
        <v>0.61103829605497928</v>
      </c>
      <c r="L17" s="21">
        <f t="shared" si="7"/>
        <v>4.9262344692444398</v>
      </c>
      <c r="M17" s="22" t="str">
        <f t="shared" si="8"/>
        <v>no signal</v>
      </c>
      <c r="N17" s="22" t="str">
        <f t="shared" si="9"/>
        <v>no signal</v>
      </c>
      <c r="O17" s="15" t="s">
        <v>60</v>
      </c>
    </row>
    <row r="18" spans="2:16" ht="25.8" customHeight="1" x14ac:dyDescent="0.3">
      <c r="B18" s="15" t="s">
        <v>61</v>
      </c>
      <c r="C18" s="23">
        <v>0</v>
      </c>
      <c r="D18" s="23">
        <v>0</v>
      </c>
      <c r="E18" s="24">
        <f t="shared" si="0"/>
        <v>7728</v>
      </c>
      <c r="F18" s="24">
        <f t="shared" si="1"/>
        <v>0</v>
      </c>
      <c r="G18" s="24">
        <f t="shared" si="2"/>
        <v>32170</v>
      </c>
      <c r="H18" s="25" t="str">
        <f t="shared" si="3"/>
        <v/>
      </c>
      <c r="I18" s="25" t="str">
        <f t="shared" si="4"/>
        <v/>
      </c>
      <c r="J18" s="25" t="str">
        <f t="shared" si="5"/>
        <v/>
      </c>
      <c r="K18" s="25" t="str">
        <f t="shared" si="6"/>
        <v/>
      </c>
      <c r="L18" s="25" t="str">
        <f t="shared" si="7"/>
        <v/>
      </c>
      <c r="M18" s="26" t="str">
        <f t="shared" si="8"/>
        <v>insufficient data</v>
      </c>
      <c r="N18" s="26" t="str">
        <f t="shared" si="9"/>
        <v>insufficient data</v>
      </c>
      <c r="O18" s="15" t="s">
        <v>62</v>
      </c>
    </row>
    <row r="19" spans="2:16" ht="25.8" customHeight="1" x14ac:dyDescent="0.3">
      <c r="B19" s="15" t="s">
        <v>63</v>
      </c>
      <c r="C19" s="23">
        <v>0</v>
      </c>
      <c r="D19" s="23">
        <v>0</v>
      </c>
      <c r="E19" s="24">
        <f t="shared" si="0"/>
        <v>7728</v>
      </c>
      <c r="F19" s="24">
        <f t="shared" si="1"/>
        <v>0</v>
      </c>
      <c r="G19" s="24">
        <f t="shared" si="2"/>
        <v>32170</v>
      </c>
      <c r="H19" s="25" t="str">
        <f t="shared" si="3"/>
        <v/>
      </c>
      <c r="I19" s="25" t="str">
        <f t="shared" si="4"/>
        <v/>
      </c>
      <c r="J19" s="25" t="str">
        <f t="shared" si="5"/>
        <v/>
      </c>
      <c r="K19" s="25" t="str">
        <f t="shared" si="6"/>
        <v/>
      </c>
      <c r="L19" s="25" t="str">
        <f t="shared" si="7"/>
        <v/>
      </c>
      <c r="M19" s="26" t="str">
        <f t="shared" si="8"/>
        <v>insufficient data</v>
      </c>
      <c r="N19" s="26" t="str">
        <f t="shared" si="9"/>
        <v>insufficient data</v>
      </c>
      <c r="O19" s="15" t="s">
        <v>64</v>
      </c>
    </row>
    <row r="20" spans="2:16" ht="27" customHeight="1" x14ac:dyDescent="0.3">
      <c r="B20" s="15" t="s">
        <v>65</v>
      </c>
      <c r="C20" s="18">
        <v>0</v>
      </c>
      <c r="D20" s="18">
        <v>0</v>
      </c>
      <c r="E20" s="20">
        <f t="shared" si="0"/>
        <v>7728</v>
      </c>
      <c r="F20" s="20">
        <f t="shared" si="1"/>
        <v>0</v>
      </c>
      <c r="G20" s="20">
        <f t="shared" si="2"/>
        <v>32170</v>
      </c>
      <c r="H20" s="21" t="str">
        <f t="shared" si="3"/>
        <v/>
      </c>
      <c r="I20" s="21" t="str">
        <f t="shared" si="4"/>
        <v/>
      </c>
      <c r="J20" s="21" t="str">
        <f t="shared" si="5"/>
        <v/>
      </c>
      <c r="K20" s="21" t="str">
        <f t="shared" si="6"/>
        <v/>
      </c>
      <c r="L20" s="21" t="str">
        <f t="shared" si="7"/>
        <v/>
      </c>
      <c r="M20" s="22" t="str">
        <f t="shared" si="8"/>
        <v>insufficient data</v>
      </c>
      <c r="N20" s="22" t="str">
        <f t="shared" si="9"/>
        <v>insufficient data</v>
      </c>
      <c r="O20" s="15" t="s">
        <v>66</v>
      </c>
    </row>
    <row r="22" spans="2:16" ht="15" customHeight="1" x14ac:dyDescent="0.3">
      <c r="B22" s="5" t="s">
        <v>67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2:16" ht="15" customHeight="1" x14ac:dyDescent="0.3">
      <c r="B23" s="4" t="s">
        <v>68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</row>
    <row r="24" spans="2:16" ht="15" customHeight="1" x14ac:dyDescent="0.3">
      <c r="B24" s="4" t="s">
        <v>69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</row>
    <row r="25" spans="2:16" ht="15" customHeight="1" x14ac:dyDescent="0.3">
      <c r="B25" s="4" t="s">
        <v>70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</row>
    <row r="26" spans="2:16" ht="15" customHeight="1" x14ac:dyDescent="0.3">
      <c r="B26" s="4" t="s">
        <v>71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</row>
  </sheetData>
  <mergeCells count="9">
    <mergeCell ref="B23:P23"/>
    <mergeCell ref="B24:P24"/>
    <mergeCell ref="B25:P25"/>
    <mergeCell ref="B26:P26"/>
    <mergeCell ref="B2:P2"/>
    <mergeCell ref="B3:P3"/>
    <mergeCell ref="B11:P11"/>
    <mergeCell ref="B12:P12"/>
    <mergeCell ref="B22:P22"/>
  </mergeCells>
  <conditionalFormatting sqref="M15:N20">
    <cfRule type="cellIs" dxfId="1" priority="2" operator="equal">
      <formula>"SIGNAL"</formula>
    </cfRule>
    <cfRule type="cellIs" dxfId="0" priority="3" operator="equal">
      <formula>"no signal"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H16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13" sqref="B13:H13"/>
    </sheetView>
  </sheetViews>
  <sheetFormatPr defaultColWidth="8.6640625" defaultRowHeight="14.4" x14ac:dyDescent="0.3"/>
  <cols>
    <col min="1" max="1" width="2" customWidth="1"/>
    <col min="2" max="2" width="20" customWidth="1"/>
    <col min="3" max="3" width="26" customWidth="1"/>
    <col min="4" max="4" width="12" customWidth="1"/>
    <col min="5" max="5" width="20" customWidth="1"/>
    <col min="6" max="6" width="30" customWidth="1"/>
    <col min="7" max="7" width="40" customWidth="1"/>
    <col min="8" max="8" width="10" customWidth="1"/>
  </cols>
  <sheetData>
    <row r="2" spans="2:8" ht="19.5" customHeight="1" x14ac:dyDescent="0.4">
      <c r="B2" s="7" t="s">
        <v>72</v>
      </c>
      <c r="C2" s="7"/>
      <c r="D2" s="7"/>
      <c r="E2" s="7"/>
      <c r="F2" s="7"/>
      <c r="G2" s="7"/>
      <c r="H2" s="7"/>
    </row>
    <row r="3" spans="2:8" ht="43.5" customHeight="1" x14ac:dyDescent="0.3">
      <c r="B3" s="6" t="s">
        <v>73</v>
      </c>
      <c r="C3" s="6"/>
      <c r="D3" s="6"/>
      <c r="E3" s="6"/>
      <c r="F3" s="6"/>
      <c r="G3" s="6"/>
      <c r="H3" s="6"/>
    </row>
    <row r="5" spans="2:8" ht="15" customHeight="1" x14ac:dyDescent="0.3">
      <c r="B5" s="14" t="s">
        <v>74</v>
      </c>
      <c r="C5" s="14" t="s">
        <v>75</v>
      </c>
      <c r="D5" s="14" t="s">
        <v>76</v>
      </c>
      <c r="E5" s="14" t="s">
        <v>77</v>
      </c>
      <c r="F5" s="14" t="s">
        <v>78</v>
      </c>
      <c r="G5" s="14" t="s">
        <v>79</v>
      </c>
      <c r="H5" s="14" t="s">
        <v>80</v>
      </c>
    </row>
    <row r="6" spans="2:8" ht="54.75" customHeight="1" x14ac:dyDescent="0.3">
      <c r="B6" s="15" t="s">
        <v>81</v>
      </c>
      <c r="C6" s="15" t="s">
        <v>82</v>
      </c>
      <c r="D6" s="15" t="s">
        <v>83</v>
      </c>
      <c r="E6" s="15" t="s">
        <v>84</v>
      </c>
      <c r="F6" s="15" t="s">
        <v>55</v>
      </c>
      <c r="G6" s="15" t="s">
        <v>85</v>
      </c>
      <c r="H6" s="15" t="s">
        <v>86</v>
      </c>
    </row>
    <row r="7" spans="2:8" ht="54.75" customHeight="1" x14ac:dyDescent="0.3">
      <c r="B7" s="15" t="s">
        <v>81</v>
      </c>
      <c r="C7" s="15" t="s">
        <v>87</v>
      </c>
      <c r="D7" s="15" t="s">
        <v>83</v>
      </c>
      <c r="E7" s="15" t="s">
        <v>32</v>
      </c>
      <c r="F7" s="15" t="s">
        <v>57</v>
      </c>
      <c r="G7" s="15" t="s">
        <v>88</v>
      </c>
      <c r="H7" s="15" t="s">
        <v>89</v>
      </c>
    </row>
    <row r="8" spans="2:8" ht="54.75" customHeight="1" x14ac:dyDescent="0.3">
      <c r="B8" s="15" t="s">
        <v>90</v>
      </c>
      <c r="C8" s="15" t="s">
        <v>91</v>
      </c>
      <c r="D8" s="15" t="s">
        <v>92</v>
      </c>
      <c r="E8" s="15" t="s">
        <v>93</v>
      </c>
      <c r="F8" s="15" t="s">
        <v>94</v>
      </c>
      <c r="G8" s="15" t="s">
        <v>95</v>
      </c>
      <c r="H8" s="15" t="s">
        <v>96</v>
      </c>
    </row>
    <row r="9" spans="2:8" ht="54.75" customHeight="1" x14ac:dyDescent="0.3">
      <c r="B9" s="15" t="s">
        <v>97</v>
      </c>
      <c r="C9" s="15" t="s">
        <v>98</v>
      </c>
      <c r="D9" s="15" t="s">
        <v>99</v>
      </c>
      <c r="E9" s="15" t="s">
        <v>100</v>
      </c>
      <c r="F9" s="15" t="s">
        <v>65</v>
      </c>
      <c r="G9" s="15" t="s">
        <v>101</v>
      </c>
      <c r="H9" s="15" t="s">
        <v>102</v>
      </c>
    </row>
    <row r="10" spans="2:8" ht="54.75" customHeight="1" x14ac:dyDescent="0.3">
      <c r="B10" s="15" t="s">
        <v>103</v>
      </c>
      <c r="C10" s="15" t="s">
        <v>104</v>
      </c>
      <c r="D10" s="15" t="s">
        <v>105</v>
      </c>
      <c r="E10" s="15" t="s">
        <v>106</v>
      </c>
      <c r="F10" s="15" t="s">
        <v>107</v>
      </c>
      <c r="G10" s="15" t="s">
        <v>108</v>
      </c>
      <c r="H10" s="15" t="s">
        <v>109</v>
      </c>
    </row>
    <row r="11" spans="2:8" ht="54.75" customHeight="1" x14ac:dyDescent="0.3">
      <c r="B11" s="15" t="s">
        <v>110</v>
      </c>
      <c r="C11" s="15" t="s">
        <v>111</v>
      </c>
      <c r="D11" s="15" t="s">
        <v>112</v>
      </c>
      <c r="E11" s="15" t="s">
        <v>113</v>
      </c>
      <c r="F11" s="15" t="s">
        <v>114</v>
      </c>
      <c r="G11" s="15" t="s">
        <v>115</v>
      </c>
      <c r="H11" s="15" t="s">
        <v>116</v>
      </c>
    </row>
    <row r="12" spans="2:8" ht="60" customHeight="1" x14ac:dyDescent="0.3">
      <c r="B12" s="15"/>
      <c r="C12" s="15"/>
      <c r="D12" s="15"/>
      <c r="E12" s="15"/>
      <c r="F12" s="15"/>
      <c r="G12" s="15"/>
      <c r="H12" s="15"/>
    </row>
    <row r="13" spans="2:8" ht="60" customHeight="1" x14ac:dyDescent="0.3">
      <c r="B13" s="3"/>
      <c r="C13" s="3"/>
      <c r="D13" s="3"/>
      <c r="E13" s="3"/>
      <c r="F13" s="3"/>
      <c r="G13" s="3"/>
      <c r="H13" s="3"/>
    </row>
    <row r="14" spans="2:8" ht="99.75" customHeight="1" x14ac:dyDescent="0.3">
      <c r="B14" s="4" t="s">
        <v>117</v>
      </c>
      <c r="C14" s="4"/>
      <c r="D14" s="4"/>
      <c r="E14" s="4"/>
      <c r="F14" s="4"/>
      <c r="G14" s="4"/>
      <c r="H14" s="4"/>
    </row>
    <row r="15" spans="2:8" ht="15" customHeight="1" x14ac:dyDescent="0.3">
      <c r="B15" s="11"/>
    </row>
    <row r="16" spans="2:8" ht="90" customHeight="1" x14ac:dyDescent="0.3">
      <c r="B16" s="13"/>
    </row>
  </sheetData>
  <mergeCells count="4">
    <mergeCell ref="B2:H2"/>
    <mergeCell ref="B3:H3"/>
    <mergeCell ref="B13:H13"/>
    <mergeCell ref="B14:H14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D17"/>
  <sheetViews>
    <sheetView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2" customWidth="1"/>
    <col min="2" max="2" width="26" customWidth="1"/>
    <col min="3" max="3" width="20" customWidth="1"/>
    <col min="4" max="4" width="55" customWidth="1"/>
  </cols>
  <sheetData>
    <row r="2" spans="2:4" ht="19.5" customHeight="1" x14ac:dyDescent="0.4">
      <c r="B2" s="7" t="s">
        <v>118</v>
      </c>
      <c r="C2" s="7"/>
      <c r="D2" s="7"/>
    </row>
    <row r="3" spans="2:4" ht="15" customHeight="1" x14ac:dyDescent="0.3">
      <c r="B3" s="6" t="s">
        <v>119</v>
      </c>
      <c r="C3" s="6"/>
      <c r="D3" s="6"/>
    </row>
    <row r="5" spans="2:4" ht="15" customHeight="1" x14ac:dyDescent="0.3">
      <c r="B5" s="14" t="s">
        <v>120</v>
      </c>
      <c r="C5" s="14" t="s">
        <v>121</v>
      </c>
      <c r="D5" s="14" t="s">
        <v>122</v>
      </c>
    </row>
    <row r="6" spans="2:4" ht="61.5" customHeight="1" x14ac:dyDescent="0.3">
      <c r="B6" s="27" t="s">
        <v>123</v>
      </c>
      <c r="C6" s="15" t="s">
        <v>124</v>
      </c>
      <c r="D6" s="15" t="s">
        <v>125</v>
      </c>
    </row>
    <row r="7" spans="2:4" ht="61.5" customHeight="1" x14ac:dyDescent="0.3">
      <c r="B7" s="27" t="s">
        <v>48</v>
      </c>
      <c r="C7" s="15" t="s">
        <v>126</v>
      </c>
      <c r="D7" s="15" t="s">
        <v>127</v>
      </c>
    </row>
    <row r="8" spans="2:4" ht="61.5" customHeight="1" x14ac:dyDescent="0.3">
      <c r="B8" s="27" t="s">
        <v>128</v>
      </c>
      <c r="C8" s="15" t="s">
        <v>129</v>
      </c>
      <c r="D8" s="15" t="s">
        <v>130</v>
      </c>
    </row>
    <row r="9" spans="2:4" ht="61.5" customHeight="1" x14ac:dyDescent="0.3">
      <c r="B9" s="27" t="s">
        <v>131</v>
      </c>
      <c r="C9" s="15" t="s">
        <v>132</v>
      </c>
      <c r="D9" s="15" t="s">
        <v>133</v>
      </c>
    </row>
    <row r="10" spans="2:4" ht="61.5" customHeight="1" x14ac:dyDescent="0.3">
      <c r="B10" s="27" t="s">
        <v>134</v>
      </c>
      <c r="C10" s="15" t="s">
        <v>135</v>
      </c>
      <c r="D10" s="15" t="s">
        <v>136</v>
      </c>
    </row>
    <row r="12" spans="2:4" ht="15" customHeight="1" x14ac:dyDescent="0.3">
      <c r="B12" s="5" t="s">
        <v>137</v>
      </c>
      <c r="C12" s="5"/>
      <c r="D12" s="5"/>
    </row>
    <row r="13" spans="2:4" ht="15" customHeight="1" x14ac:dyDescent="0.3">
      <c r="B13" s="2" t="s">
        <v>138</v>
      </c>
      <c r="C13" s="2"/>
      <c r="D13" s="14" t="s">
        <v>139</v>
      </c>
    </row>
    <row r="14" spans="2:4" ht="60" customHeight="1" x14ac:dyDescent="0.3">
      <c r="B14" s="1" t="s">
        <v>140</v>
      </c>
      <c r="C14" s="1"/>
      <c r="D14" s="15" t="s">
        <v>141</v>
      </c>
    </row>
    <row r="15" spans="2:4" ht="60" customHeight="1" x14ac:dyDescent="0.3">
      <c r="B15" s="1" t="s">
        <v>142</v>
      </c>
      <c r="C15" s="1"/>
      <c r="D15" s="15" t="s">
        <v>143</v>
      </c>
    </row>
    <row r="16" spans="2:4" ht="60" customHeight="1" x14ac:dyDescent="0.3">
      <c r="B16" s="1" t="s">
        <v>144</v>
      </c>
      <c r="C16" s="1"/>
      <c r="D16" s="15" t="s">
        <v>145</v>
      </c>
    </row>
    <row r="17" spans="2:4" ht="60" customHeight="1" x14ac:dyDescent="0.3">
      <c r="B17" s="1" t="s">
        <v>146</v>
      </c>
      <c r="C17" s="1"/>
      <c r="D17" s="15" t="s">
        <v>147</v>
      </c>
    </row>
  </sheetData>
  <mergeCells count="8">
    <mergeCell ref="B15:C15"/>
    <mergeCell ref="B16:C16"/>
    <mergeCell ref="B17:C17"/>
    <mergeCell ref="B2:D2"/>
    <mergeCell ref="B3:D3"/>
    <mergeCell ref="B12:D12"/>
    <mergeCell ref="B13:C13"/>
    <mergeCell ref="B14:C14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Project Overview</vt:lpstr>
      <vt:lpstr>2. 2x2 Signal Worksheet</vt:lpstr>
      <vt:lpstr>3. Published Benchmarks</vt:lpstr>
      <vt:lpstr>4. Signal Interpretation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ZEEHAAN AKTAR</cp:lastModifiedBy>
  <cp:revision>0</cp:revision>
  <dcterms:created xsi:type="dcterms:W3CDTF">2026-09-08T18:51:06Z</dcterms:created>
  <dcterms:modified xsi:type="dcterms:W3CDTF">2026-09-16T09:18:39Z</dcterms:modified>
  <dc:language>en-US</dc:language>
</cp:coreProperties>
</file>